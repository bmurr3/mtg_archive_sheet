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lle\OneDrive\Pictures\Documents\Projects\Magic Collection\mtg_archive_sheet\"/>
    </mc:Choice>
  </mc:AlternateContent>
  <xr:revisionPtr revIDLastSave="0" documentId="13_ncr:1_{EA87D762-2870-4661-B6E8-B964F7837AE7}" xr6:coauthVersionLast="47" xr6:coauthVersionMax="47" xr10:uidLastSave="{00000000-0000-0000-0000-000000000000}"/>
  <bookViews>
    <workbookView xWindow="28680" yWindow="3990" windowWidth="29040" windowHeight="15720" activeTab="2" xr2:uid="{D2E04CE1-8A9E-4C58-B2EF-B9769E768625}"/>
  </bookViews>
  <sheets>
    <sheet name="Dashboard" sheetId="1" r:id="rId1"/>
    <sheet name="Raw Cards" sheetId="2" r:id="rId2"/>
    <sheet name="Card Details" sheetId="3" r:id="rId3"/>
    <sheet name="Set Details" sheetId="4" r:id="rId4"/>
    <sheet name="Config" sheetId="5" r:id="rId5"/>
    <sheet name="Log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E2" i="3" s="1"/>
  <c r="D2" i="3"/>
  <c r="D2" i="2"/>
</calcChain>
</file>

<file path=xl/sharedStrings.xml><?xml version="1.0" encoding="utf-8"?>
<sst xmlns="http://schemas.openxmlformats.org/spreadsheetml/2006/main" count="10" uniqueCount="9">
  <si>
    <t>Set Code</t>
  </si>
  <si>
    <t>Is Foil</t>
  </si>
  <si>
    <t>ID</t>
  </si>
  <si>
    <t>Name</t>
  </si>
  <si>
    <t>Last Update</t>
  </si>
  <si>
    <t>Nonfoil Count</t>
  </si>
  <si>
    <t>Foil Count</t>
  </si>
  <si>
    <t>Total Count</t>
  </si>
  <si>
    <t>Collector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</si>
</sst>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 vertical="top"/>
    </xf>
    <xf numFmtId="0" fontId="1" fillId="0" borderId="0" xfId="0" applyFont="1" applyAlignment="1">
      <alignment wrapText="1"/>
    </xf>
  </cellXfs>
  <cellStyles count="1">
    <cellStyle name="Normal" xfId="0" builtinId="0"/>
  </cellStyles>
  <dxfs count="2"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9FA313-6A47-44E2-B05E-7C6EE881A3DC}" name="RawCards" displayName="RawCards" ref="A1:D2" totalsRowShown="0" headerRowDxfId="0">
  <autoFilter ref="A1:D2" xr:uid="{869FA313-6A47-44E2-B05E-7C6EE881A3DC}"/>
  <tableColumns count="4">
    <tableColumn id="1" xr3:uid="{A5337417-92B7-440E-81DC-07EDA0B82DAB}" name="Set Code"/>
    <tableColumn id="2" xr3:uid="{319A80D1-661A-4AC0-9B28-DD1842DDE9BF}" name="Collector Number"/>
    <tableColumn id="3" xr3:uid="{00C012D5-547C-4B4A-886A-94C341148611}" name="Is Foil"/>
    <tableColumn id="4" xr3:uid="{129003DF-DFA5-4724-B015-45C406C6F9BD}" name="ID">
      <calculatedColumnFormula>_xlfn.CONCAT(RawCards[[#This Row],[Set Code]],"-",RawCards[[#This Row],[Collector Number]])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FC8D1-F3CC-41DF-BCC4-9E09552C0173}" name="CardDetails" displayName="CardDetails" ref="A1:F2" totalsRowShown="0" headerRowDxfId="1">
  <autoFilter ref="A1:F2" xr:uid="{90DFC8D1-F3CC-41DF-BCC4-9E09552C0173}"/>
  <tableColumns count="6">
    <tableColumn id="1" xr3:uid="{F5AC6417-6809-4CEB-8A5D-768ABBE553A5}" name="ID"/>
    <tableColumn id="2" xr3:uid="{1CC10B08-976D-4860-A723-C81684BD6FF2}" name="Last Update"/>
    <tableColumn id="3" xr3:uid="{E6684F62-017D-41EB-96B4-A6AE2958C48D}" name="Nonfoil Count">
      <calculatedColumnFormula>COUNTIFS(RawCards[ID],CardDetails[[#This Row],[ID]],RawCards[Is Foil],FALSE)</calculatedColumnFormula>
    </tableColumn>
    <tableColumn id="4" xr3:uid="{AE8B4DC2-A3CA-4940-8C06-26EE375125AE}" name="Foil Count">
      <calculatedColumnFormula>COUNTIFS(RawCards[ID],CardDetails[[#This Row],[ID]],RawCards[Is Foil],TRUE)</calculatedColumnFormula>
    </tableColumn>
    <tableColumn id="5" xr3:uid="{0492F9F9-1535-419B-856F-718183D11E39}" name="Total Count">
      <calculatedColumnFormula>SUM(CardDetails[[#This Row],[Nonfoil Count]:[Foil Count]])</calculatedColumnFormula>
    </tableColumn>
    <tableColumn id="6" xr3:uid="{83D904CA-EEE0-4560-94A5-16881DB43465}" name="Na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6665-A088-47E2-BF8A-E9688E082CA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E0491-1902-4FD8-B2AF-644A5EE3A0CD}">
  <sheetPr codeName="SRawCards"/>
  <dimension ref="A1:D14"/>
  <sheetViews>
    <sheetView workbookViewId="0">
      <selection activeCell="A7" sqref="A7"/>
    </sheetView>
  </sheetViews>
  <sheetFormatPr defaultRowHeight="12.75" x14ac:dyDescent="0.25"/>
  <cols>
    <col min="1" max="1" width="11.28515625" style="3" bestFit="1" customWidth="1"/>
    <col min="2" max="2" width="19.5703125" style="3" bestFit="1" customWidth="1"/>
    <col min="3" max="3" width="10.28515625" style="3" bestFit="1" customWidth="1"/>
    <col min="4" max="4" width="8" style="3" bestFit="1" customWidth="1"/>
    <col min="5" max="16384" width="9.140625" style="3"/>
  </cols>
  <sheetData>
    <row r="1" spans="1:4" x14ac:dyDescent="0.2">
      <c r="A1" s="2" t="s">
        <v>0</v>
      </c>
      <c r="B1" s="2" t="s">
        <v>8</v>
      </c>
      <c r="C1" s="2" t="s">
        <v>1</v>
      </c>
      <c r="D1" s="2" t="s">
        <v>2</v>
      </c>
    </row>
    <row r="2" spans="1:4" x14ac:dyDescent="0.2">
      <c r="A2" s="2"/>
      <c r="B2" s="2"/>
      <c r="C2" s="2"/>
      <c r="D2" s="2" t="str">
        <f>_xlfn.CONCAT(RawCards[[#This Row],[Set Code]],"-",RawCards[[#This Row],[Collector Number]])</f>
        <v>-</v>
      </c>
    </row>
    <row r="3" spans="1:4" ht="15" x14ac:dyDescent="0.25">
      <c r="A3"/>
      <c r="B3"/>
      <c r="C3"/>
      <c r="D3"/>
    </row>
    <row r="4" spans="1:4" ht="15" x14ac:dyDescent="0.25">
      <c r="A4"/>
      <c r="B4"/>
      <c r="C4"/>
      <c r="D4"/>
    </row>
    <row r="5" spans="1:4" ht="15" x14ac:dyDescent="0.25">
      <c r="A5"/>
      <c r="B5"/>
      <c r="C5"/>
      <c r="D5"/>
    </row>
    <row r="6" spans="1:4" ht="15" x14ac:dyDescent="0.25">
      <c r="A6"/>
      <c r="B6"/>
      <c r="C6"/>
      <c r="D6"/>
    </row>
    <row r="7" spans="1:4" x14ac:dyDescent="0.2">
      <c r="A7" s="2"/>
      <c r="B7" s="2"/>
      <c r="C7" s="2"/>
      <c r="D7" s="2"/>
    </row>
    <row r="8" spans="1:4" x14ac:dyDescent="0.2">
      <c r="A8" s="2"/>
      <c r="B8" s="2"/>
      <c r="C8" s="2"/>
      <c r="D8" s="2"/>
    </row>
    <row r="9" spans="1:4" x14ac:dyDescent="0.2">
      <c r="A9" s="2"/>
      <c r="B9" s="2"/>
      <c r="C9" s="2"/>
      <c r="D9" s="2"/>
    </row>
    <row r="10" spans="1:4" x14ac:dyDescent="0.2">
      <c r="A10" s="2"/>
      <c r="B10" s="2"/>
      <c r="C10" s="2"/>
      <c r="D10" s="2"/>
    </row>
    <row r="11" spans="1:4" x14ac:dyDescent="0.2">
      <c r="A11" s="2"/>
      <c r="B11" s="2"/>
      <c r="C11" s="2"/>
      <c r="D11" s="2"/>
    </row>
    <row r="12" spans="1:4" x14ac:dyDescent="0.2">
      <c r="A12" s="2"/>
      <c r="B12" s="2"/>
      <c r="C12" s="2"/>
      <c r="D12" s="2"/>
    </row>
    <row r="13" spans="1:4" x14ac:dyDescent="0.2">
      <c r="A13" s="2"/>
      <c r="B13" s="2"/>
      <c r="C13" s="2"/>
      <c r="D13" s="2"/>
    </row>
    <row r="14" spans="1:4" x14ac:dyDescent="0.2">
      <c r="A14" s="2"/>
      <c r="B14" s="2"/>
      <c r="C14" s="2"/>
      <c r="D14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C6B6-C347-4B34-9341-AE3F107601D2}">
  <sheetPr codeName="SCardDetails"/>
  <dimension ref="A1:F3"/>
  <sheetViews>
    <sheetView tabSelected="1" workbookViewId="0">
      <selection activeCell="A4" sqref="A4"/>
    </sheetView>
  </sheetViews>
  <sheetFormatPr defaultRowHeight="15" x14ac:dyDescent="0.25"/>
  <cols>
    <col min="1" max="1" width="9" style="1" bestFit="1" customWidth="1"/>
    <col min="2" max="2" width="16" style="1" bestFit="1" customWidth="1"/>
    <col min="3" max="3" width="11.28515625" style="1" bestFit="1" customWidth="1"/>
    <col min="4" max="5" width="9" style="1" bestFit="1" customWidth="1"/>
    <col min="6" max="6" width="7.85546875" style="1" bestFit="1" customWidth="1"/>
    <col min="7" max="16384" width="9.140625" style="1"/>
  </cols>
  <sheetData>
    <row r="1" spans="1:6" s="4" customFormat="1" ht="30" x14ac:dyDescent="0.25">
      <c r="A1" s="4" t="s">
        <v>2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3</v>
      </c>
    </row>
    <row r="2" spans="1:6" x14ac:dyDescent="0.25">
      <c r="A2" s="4"/>
      <c r="B2" s="4"/>
      <c r="C2" s="4">
        <f>COUNTIFS(RawCards[ID],CardDetails[[#This Row],[ID]],RawCards[Is Foil],FALSE)</f>
        <v>0</v>
      </c>
      <c r="D2" s="4">
        <f>COUNTIFS(RawCards[ID],CardDetails[[#This Row],[ID]],RawCards[Is Foil],TRUE)</f>
        <v>0</v>
      </c>
      <c r="E2" s="4">
        <f>SUM(CardDetails[[#This Row],[Nonfoil Count]:[Foil Count]])</f>
        <v>0</v>
      </c>
      <c r="F2" s="4"/>
    </row>
    <row r="3" spans="1:6" x14ac:dyDescent="0.25">
      <c r="A3"/>
      <c r="B3"/>
      <c r="C3"/>
      <c r="D3"/>
      <c r="E3"/>
      <c r="F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4A077-617B-434C-9555-E8A7ED6C721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4128-BDF4-4A41-AB74-CEBD9B84BD5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8C64E-6ED0-45E4-885B-A3D3A5FE0A19}">
  <sheetPr codeName="Sheet6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Raw Cards</vt:lpstr>
      <vt:lpstr>Card Details</vt:lpstr>
      <vt:lpstr>Set Details</vt:lpstr>
      <vt:lpstr>Config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jalen waller</dc:creator>
  <cp:lastModifiedBy>jalen waller</cp:lastModifiedBy>
  <dcterms:created xsi:type="dcterms:W3CDTF">2024-11-03T20:09:19Z</dcterms:created>
  <dcterms:modified xsi:type="dcterms:W3CDTF">2024-11-03T23:06:16Z</dcterms:modified>
</cp:coreProperties>
</file>